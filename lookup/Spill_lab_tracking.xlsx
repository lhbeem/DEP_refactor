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154" documentId="13_ncr:1_{4923A7FC-61C1-43DD-ACDC-2AD5F26F4CA0}" xr6:coauthVersionLast="47" xr6:coauthVersionMax="47" xr10:uidLastSave="{99336B6A-1A7F-4111-A736-F5713E1A2178}"/>
  <bookViews>
    <workbookView xWindow="2970" yWindow="3180" windowWidth="21600" windowHeight="11295" activeTab="1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<sst xmlns="http://schemas.openxmlformats.org/spreadsheetml/2006/main" count="2268" uniqueCount="822">
  <si>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</si>
  <si>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</si>
  <si>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</si>
  <si>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</si>
  <si>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</si>
  <si>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</si>
  <si>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</si>
  <si>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</si>
  <si>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</si>
  <si>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</si>
  <si>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</si>
  <si>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</si>
  <si>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</si>
  <si>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</si>
  <si>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</si>
  <si>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</si>
  <si>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</si>
  <si>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</si>
  <si>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</si>
  <si>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</si>
  <si>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</si>
  <si>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</si>
  <si>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</si>
  <si>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</si>
  <si>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</si>
  <si>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</si>
  <si>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</si>
  <si>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</si>
  <si>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</si>
  <si>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</si>
  <si>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</si>
  <si>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</si>
  <si>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</si>
  <si>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</si>
  <si>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</si>
  <si>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</si>
  <si>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</si>
  <si>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</si>
  <si>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</si>
  <si>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</si>
  <si>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</si>
  <si>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</si>
  <si>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</si>
  <si>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</si>
  <si>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</si>
  <si>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</si>
  <si>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</si>
  <si>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</si>
  <si>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</si>
  <si>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</si>
  <si>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</si>
  <si>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</si>
  <si>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</si>
  <si>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</si>
  <si>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</si>
  <si>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</si>
  <si>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</si>
  <si>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</si>
  <si>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</si>
  <si>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</si>
  <si>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</si>
  <si>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</si>
  <si>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</si>
  <si>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</si>
  <si>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</si>
  <si>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</si>
  <si>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</si>
  <si>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</si>
  <si>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</si>
  <si>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</si>
  <si>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</si>
  <si>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</si>
  <si>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</si>
  <si>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</si>
  <si>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</si>
  <si>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</si>
  <si>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</si>
  <si>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</si>
  <si>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</si>
  <si>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</si>
  <si>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</si>
  <si>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</si>
  <si>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</si>
  <si>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</si>
  <si>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</si>
  <si>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</si>
  <si>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</si>
  <si>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</si>
  <si>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</si>
  <si>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</si>
  <si>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</si>
  <si>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</si>
  <si>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</si>
  <si>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</si>
  <si>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</si>
  <si>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</si>
  <si>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</si>
  <si>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</si>
  <si>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</si>
  <si>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</si>
  <si>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</si>
  <si>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</si>
  <si>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</si>
  <si>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</si>
  <si>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</si>
  <si>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</si>
  <si>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</si>
  <si>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</si>
  <si>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</si>
  <si>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</si>
  <si>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</si>
  <si>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</si>
  <si>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</si>
  <si>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</si>
  <si>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</si>
  <si>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</si>
  <si>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</si>
  <si>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</si>
  <si>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</si>
  <si>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</si>
  <si>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</si>
  <si>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</si>
  <si>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</si>
  <si>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</si>
  <si>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</si>
  <si>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</si>
  <si>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</si>
  <si>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</si>
  <si>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</si>
  <si>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</si>
  <si>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</si>
  <si>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</si>
  <si>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</si>
  <si>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</si>
  <si>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</si>
  <si>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</si>
  <si>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</si>
  <si>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</si>
  <si>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</si>
  <si>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</si>
  <si>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</si>
  <si>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</si>
  <si>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</si>
  <si>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</si>
  <si>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</si>
  <si>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</si>
  <si>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</si>
  <si>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</si>
  <si>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</si>
  <si>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</si>
  <si>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</si>
  <si>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</si>
  <si>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</si>
  <si>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</si>
  <si>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</si>
  <si>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</si>
  <si>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</si>
  <si>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</si>
  <si>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</si>
  <si>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</si>
  <si>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</si>
  <si>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</si>
  <si>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</si>
  <si>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</si>
  <si>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</si>
  <si>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</si>
  <si>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</si>
  <si>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</si>
  <si>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</si>
  <si>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</si>
  <si>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</si>
  <si>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</si>
  <si>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</si>
  <si>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</si>
  <si>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</si>
  <si>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</si>
  <si>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</si>
  <si>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</si>
  <si>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</si>
  <si>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</si>
  <si>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</si>
  <si>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</si>
  <si>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</si>
  <si>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</si>
  <si>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</si>
  <si>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</si>
  <si>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</si>
  <si>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</si>
  <si>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</si>
  <si>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</si>
  <si>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</si>
  <si>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</si>
  <si>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</si>
  <si>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</si>
  <si>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</si>
  <si>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</si>
  <si>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</si>
  <si>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</si>
  <si>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</si>
  <si>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</si>
  <si>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</si>
  <si>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</si>
  <si>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</si>
  <si>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</si>
  <si>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</si>
  <si>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</si>
  <si>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</si>
  <si>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</si>
  <si>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</si>
  <si>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</si>
  <si>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</si>
  <si>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</si>
  <si>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</si>
  <si>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</si>
  <si>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</si>
  <si>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</si>
  <si>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</si>
  <si>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</si>
  <si>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</si>
  <si>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</si>
  <si>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</si>
  <si>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</si>
  <si>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</si>
  <si>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</si>
  <si>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</si>
  <si>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</si>
  <si>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</si>
  <si>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</si>
  <si>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</si>
  <si>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</si>
  <si>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</si>
  <si>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</si>
  <si>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</si>
  <si>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</si>
  <si>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</si>
  <si>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</si>
  <si>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</si>
  <si>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</si>
  <si>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</si>
  <si>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</si>
  <si>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</si>
  <si>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</si>
  <si>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</si>
  <si>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</si>
  <si>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</si>
  <si>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</si>
  <si>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</si>
  <si>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</si>
  <si>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</si>
  <si>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</si>
  <si>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</si>
  <si>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</si>
  <si>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</si>
  <si>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</si>
  <si>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</si>
  <si>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</si>
  <si>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</si>
  <si>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</si>
  <si>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</si>
  <si>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</si>
  <si>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</si>
  <si>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</si>
  <si>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</si>
  <si>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</si>
  <si>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</si>
  <si>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</si>
  <si>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</si>
  <si>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</si>
  <si>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</si>
  <si>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</si>
  <si>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</si>
  <si>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</si>
  <si>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</si>
  <si>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</si>
  <si>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</si>
  <si>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</si>
  <si>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</si>
  <si>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</si>
  <si>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</si>
  <si>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</si>
  <si>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</si>
  <si>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</si>
  <si>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</si>
  <si>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</si>
  <si>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</si>
  <si>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</si>
  <si>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</si>
  <si>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</si>
  <si>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</si>
  <si>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</si>
  <si>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</si>
  <si>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</si>
  <si>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</si>
  <si>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</si>
  <si>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</si>
  <si>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</si>
  <si>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</si>
  <si>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</si>
  <si>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</si>
  <si>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</si>
  <si>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</si>
  <si>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</si>
  <si>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</si>
  <si>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</si>
  <si>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</si>
  <si>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</si>
  <si>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</si>
  <si>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</si>
  <si>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</si>
  <si>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</si>
  <si>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</si>
  <si>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</si>
  <si>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</si>
  <si>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</si>
  <si>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</si>
  <si>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</si>
  <si>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</si>
  <si>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</si>
  <si>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</si>
  <si>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</si>
  <si>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</si>
  <si>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</si>
  <si>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</si>
  <si>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</si>
  <si>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</si>
  <si>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</si>
  <si>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</si>
  <si>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</si>
  <si>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</si>
  <si>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</si>
  <si>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</si>
  <si>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</si>
  <si>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</si>
  <si>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</si>
  <si>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</si>
  <si>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</si>
  <si>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</si>
  <si>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</si>
  <si>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</si>
  <si>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</si>
  <si>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</si>
  <si>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</si>
  <si>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</si>
  <si>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</si>
  <si>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</si>
  <si>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</si>
  <si>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</si>
  <si>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</si>
  <si>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</si>
  <si>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</si>
  <si>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</si>
  <si>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</si>
  <si>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</si>
  <si>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</si>
  <si>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</si>
  <si>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</si>
  <si>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</si>
  <si>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</si>
  <si>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</si>
  <si>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</si>
  <si>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</si>
  <si>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</si>
  <si>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</si>
  <si>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</si>
  <si>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</si>
  <si>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</si>
  <si>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</si>
  <si>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</si>
  <si>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</si>
  <si>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</si>
  <si>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</si>
  <si>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</si>
  <si>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</si>
  <si>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</si>
  <si>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</si>
  <si>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</si>
  <si>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</si>
  <si>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</si>
  <si>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</si>
  <si>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</si>
  <si>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</si>
  <si>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</si>
  <si>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</si>
  <si>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</si>
  <si>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</si>
  <si>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</si>
  <si>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</si>
  <si>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</si>
  <si>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</si>
  <si>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</si>
  <si>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</si>
  <si>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</si>
  <si>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</si>
  <si>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</si>
  <si>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</si>
  <si>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</si>
  <si>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</si>
  <si>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</si>
  <si>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</si>
  <si>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</si>
  <si>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</si>
  <si>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</si>
  <si>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</si>
  <si>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</si>
  <si>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</si>
  <si>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</si>
  <si>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</si>
  <si>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</si>
  <si>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</si>
  <si>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</si>
  <si>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</si>
  <si>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</si>
  <si>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</si>
  <si>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</si>
  <si>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</si>
  <si>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</si>
  <si>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</si>
  <si>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</si>
  <si>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</si>
  <si>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</si>
  <si>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</si>
  <si>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</si>
  <si>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</si>
  <si>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</si>
  <si>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</si>
  <si>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</si>
  <si>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</si>
  <si>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</si>
  <si>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</si>
  <si>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</si>
  <si>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</si>
  <si>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</si>
  <si>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</si>
  <si>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</si>
  <si>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</si>
  <si>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</si>
  <si>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</si>
  <si>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</si>
  <si>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</si>
  <si>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</si>
  <si>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</si>
  <si>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</si>
  <si>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</si>
  <si>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</si>
  <si>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</si>
  <si>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</si>
  <si>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</si>
  <si>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</si>
  <si>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</si>
  <si>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</si>
  <si>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</si>
  <si>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</si>
  <si>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</si>
  <si>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</si>
  <si>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</si>
  <si>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</si>
  <si>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</si>
  <si>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</si>
  <si>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</si>
  <si>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</si>
  <si>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</si>
  <si>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</si>
  <si>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</si>
  <si>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</si>
  <si>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</si>
  <si>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</si>
  <si>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</si>
  <si>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</si>
  <si>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</si>
  <si>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</si>
  <si>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</si>
  <si>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</si>
  <si>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</si>
  <si>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</si>
  <si>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</si>
  <si>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</si>
  <si>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</si>
  <si>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</si>
  <si>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</si>
  <si>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</si>
  <si>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</si>
  <si>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</si>
  <si>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</si>
  <si>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</si>
  <si>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</si>
  <si>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</si>
  <si>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</si>
  <si>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</si>
  <si>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</si>
  <si>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</si>
  <si>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</si>
  <si>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</si>
  <si>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</si>
  <si>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</si>
  <si>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</si>
  <si>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</si>
  <si>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</si>
  <si>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</si>
  <si>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</si>
  <si>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</si>
  <si>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</si>
  <si>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</si>
  <si>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</si>
  <si>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</si>
  <si>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</si>
  <si>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</si>
  <si>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</si>
  <si>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</si>
  <si>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</si>
  <si>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</si>
  <si>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</si>
  <si>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</si>
  <si>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</si>
  <si>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</si>
  <si>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</si>
  <si>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</si>
  <si>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</si>
  <si>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</si>
  <si>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</si>
  <si>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</si>
  <si>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</si>
  <si>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</si>
  <si>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</si>
  <si>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</si>
  <si>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</si>
  <si>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</si>
  <si>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</si>
  <si>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</si>
  <si>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</si>
  <si>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</si>
  <si>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</si>
  <si>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</si>
  <si>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</si>
  <si>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</si>
  <si>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</si>
  <si>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</si>
  <si>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</si>
  <si>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</si>
  <si>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</si>
  <si>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</si>
  <si>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</si>
  <si>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</si>
  <si>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</si>
  <si>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</si>
  <si>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</si>
  <si>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</si>
  <si>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</si>
  <si>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</si>
  <si>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</si>
  <si>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</si>
  <si>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</si>
  <si>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</si>
  <si>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</si>
  <si>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</si>
  <si>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</si>
  <si>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</si>
  <si>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</si>
  <si>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</si>
  <si>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</si>
  <si>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</si>
  <si>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</si>
  <si>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</si>
  <si>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</si>
  <si>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</si>
  <si>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</si>
  <si>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</si>
  <si>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</si>
  <si>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</si>
  <si>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</si>
  <si>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</si>
  <si>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</si>
  <si>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</si>
  <si>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</si>
  <si>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</si>
  <si>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</si>
  <si>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</si>
  <si>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</si>
  <si>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</si>
  <si>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</si>
  <si>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</si>
  <si>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</si>
  <si>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</si>
  <si>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</si>
  <si>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</si>
  <si>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</si>
  <si>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</si>
  <si>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</si>
  <si>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</si>
  <si>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</si>
  <si>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</si>
  <si>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</si>
  <si>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</si>
  <si>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</si>
  <si>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</si>
  <si>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</si>
  <si>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</si>
  <si>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</si>
  <si>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</si>
  <si>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</si>
  <si>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</si>
  <si>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</si>
  <si>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</si>
  <si>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</si>
  <si>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</si>
  <si>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</si>
  <si>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</si>
  <si>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</si>
  <si>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</si>
  <si>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</si>
  <si>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</si>
  <si>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</si>
  <si>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</si>
  <si>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</si>
  <si>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</si>
  <si>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</si>
  <si>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</si>
  <si>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</si>
  <si>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</si>
  <si>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</si>
  <si>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</si>
  <si>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</si>
  <si>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</si>
  <si>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</si>
  <si>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</si>
  <si>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</si>
  <si>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</si>
  <si>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</si>
  <si>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</si>
  <si>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</si>
  <si>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</si>
  <si>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</si>
  <si>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</si>
  <si>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</si>
  <si>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</si>
  <si>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</si>
  <si>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</si>
  <si>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</si>
  <si>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</si>
  <si>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</si>
  <si>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</si>
  <si>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</si>
  <si>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</si>
  <si>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</si>
  <si>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</si>
  <si>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</si>
  <si>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</si>
  <si>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</si>
  <si>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</si>
  <si>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</si>
  <si>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</si>
  <si>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</si>
  <si>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</si>
  <si>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</si>
  <si>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</si>
  <si>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</si>
  <si>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</si>
  <si>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</si>
  <si>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</si>
  <si>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</si>
  <si>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</si>
  <si>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</si>
  <si>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</si>
  <si>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</si>
  <si>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</si>
  <si>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</si>
  <si>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</si>
  <si>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</si>
  <si>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</si>
  <si>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</si>
  <si>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</si>
  <si>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</si>
  <si>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</si>
  <si>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</si>
  <si>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</si>
  <si>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</si>
  <si>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</si>
  <si>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</si>
  <si>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</si>
  <si>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</si>
  <si>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</si>
  <si>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</si>
  <si>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</si>
  <si>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</si>
  <si>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</si>
  <si>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</si>
  <si>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</si>
  <si>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</si>
  <si>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</si>
  <si>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</si>
  <si>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</si>
  <si>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</si>
  <si>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</si>
  <si>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</si>
  <si>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</si>
  <si>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</si>
  <si>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</si>
  <si>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</si>
  <si>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</si>
  <si>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</si>
  <si>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</si>
  <si>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</si>
  <si>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</si>
  <si>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</si>
  <si>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</si>
  <si>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</si>
  <si>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</si>
  <si>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</si>
  <si>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</si>
  <si>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</si>
  <si>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</si>
  <si>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</si>
  <si>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</si>
  <si>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</si>
  <si>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</si>
  <si>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</si>
  <si>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</si>
  <si>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</si>
  <si>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</si>
  <si>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</si>
  <si>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</si>
  <si>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</si>
  <si>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</si>
  <si>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</si>
  <si>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</si>
  <si>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</si>
  <si>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</si>
  <si>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</si>
  <si>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</si>
  <si>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</si>
  <si>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</si>
  <si>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</si>
  <si>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</si>
  <si>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</si>
  <si>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</si>
  <si>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</si>
  <si>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</si>
  <si>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</si>
  <si>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</si>
  <si>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</si>
  <si>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</si>
  <si>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</si>
  <si>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</si>
  <si>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</si>
  <si>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</si>
  <si>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</si>
  <si>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</si>
  <si>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</si>
  <si>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</si>
  <si>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</si>
  <si>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</si>
  <si>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</si>
  <si>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</si>
  <si>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</si>
  <si>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</si>
  <si>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</si>
  <si>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</si>
  <si>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</si>
  <si>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</si>
  <si>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</si>
  <si>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</si>
  <si>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</si>
  <si>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</si>
  <si>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</si>
  <si>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</si>
  <si>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</si>
  <si>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</si>
  <si>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</si>
  <si>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</si>
  <si>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</si>
  <si>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</si>
  <si>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</si>
  <si>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</si>
  <si>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</si>
  <si>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</si>
  <si>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</si>
  <si>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</si>
  <si>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</si>
  <si>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</si>
  <si>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</si>
  <si>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</si>
  <si>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</si>
  <si>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</si>
  <si>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</si>
  <si>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</si>
  <si>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</si>
  <si>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</si>
  <si>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</si>
  <si>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</si>
  <si>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</si>
  <si>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</si>
  <si>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 xml:space="preserve">Souther Portland </t>
  </si>
  <si>
    <t>Ahold Delhaize</t>
  </si>
  <si>
    <t>Quinn</t>
  </si>
  <si>
    <t>L2652862-01</t>
  </si>
  <si>
    <t>esqtr</t>
  </si>
  <si>
    <t>L2656749-01D</t>
  </si>
  <si>
    <t>New Glouster</t>
  </si>
  <si>
    <t>H Johnston</t>
  </si>
  <si>
    <t>H:\BRWM\PFAS - LD 1600\Sites\New Gloucester\H Johnston S-021541 New Gloucester</t>
  </si>
  <si>
    <t xml:space="preserve">South Portland </t>
  </si>
  <si>
    <t>H:\BRWM\Remediation Division\Sites\Portland\Portland Harbor Dredge Project</t>
  </si>
  <si>
    <t>L2656748-01</t>
  </si>
  <si>
    <t xml:space="preserve">not reporting </t>
  </si>
  <si>
    <t>FieldT1</t>
  </si>
  <si>
    <t>DACF soil</t>
  </si>
  <si>
    <t xml:space="preserve">L2636014-01 </t>
  </si>
  <si>
    <t>L2639253</t>
  </si>
  <si>
    <t>FieldY1</t>
  </si>
  <si>
    <t>FieldY2</t>
  </si>
  <si>
    <t>L2643968</t>
  </si>
  <si>
    <t>Harbor Dredge</t>
  </si>
  <si>
    <t>H:\BRWM\PFAS - LD 1600\Sites\Brunswick\Henshaw-Lemaistre_007712 (EGAD 28307)</t>
  </si>
  <si>
    <t>16North</t>
  </si>
  <si>
    <t>Russell</t>
  </si>
  <si>
    <t>H:\BRWM\PFAS - LD 1600\Sites\Brunswick\Russell 00-W159 (NO EGAD)</t>
  </si>
  <si>
    <t>C:\Users\Lucas.Beem\OneDrive - State of Maine\Documents\sites\pfas\cumberland_gray</t>
  </si>
  <si>
    <t>unc</t>
  </si>
  <si>
    <t>Olsky</t>
  </si>
  <si>
    <t>Mayhew</t>
  </si>
  <si>
    <t>H:\BRWM\Remediation Division\Sites\Mexico\Boise Cascade (Olsky)</t>
  </si>
  <si>
    <t>REM00718</t>
  </si>
  <si>
    <t>C:\Users\Lucas.Beem\OneDrive - State of Maine\Documents\sites\unc\olsky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</si>
</sst>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workbookViewId="0">
      <pane ySplit="1" topLeftCell="A120" activePane="bottomLeft" state="frozen"/>
      <selection pane="bottomLeft" activeCell="D128" sqref="D128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765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765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766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721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761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762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719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782</v>
      </c>
      <c r="K109" s="23" t="s">
        <v>781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722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723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717</v>
      </c>
      <c r="C113" s="3" t="s">
        <v>718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782</v>
      </c>
      <c r="J113" s="40" t="s">
        <v>782</v>
      </c>
      <c r="K113" s="23" t="s">
        <v>720</v>
      </c>
    </row>
    <row r="114" spans="1:11" x14ac:dyDescent="0.25">
      <c r="A114" s="3" t="s">
        <v>620</v>
      </c>
      <c r="B114" s="30" t="s">
        <v>753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764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767</v>
      </c>
      <c r="B116" s="30" t="s">
        <v>768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777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782</v>
      </c>
    </row>
    <row r="118" spans="1:11" x14ac:dyDescent="0.25">
      <c r="A118" s="3" t="s">
        <v>641</v>
      </c>
      <c r="B118" s="30" t="s">
        <v>778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782</v>
      </c>
    </row>
    <row r="119" spans="1:11" x14ac:dyDescent="0.25">
      <c r="A119" s="3" t="s">
        <v>641</v>
      </c>
      <c r="B119" s="30" t="s">
        <v>779</v>
      </c>
      <c r="C119" s="3" t="s">
        <v>761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782</v>
      </c>
    </row>
    <row r="120" spans="1:11" x14ac:dyDescent="0.25">
      <c r="A120" s="3" t="s">
        <v>641</v>
      </c>
      <c r="B120" s="30" t="s">
        <v>780</v>
      </c>
      <c r="C120" s="3" t="s">
        <v>762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782</v>
      </c>
    </row>
    <row r="121" spans="1:11" x14ac:dyDescent="0.25">
      <c r="A121" s="3" t="s">
        <v>588</v>
      </c>
      <c r="B121" s="30" t="s">
        <v>801</v>
      </c>
      <c r="C121" s="3" t="s">
        <v>388</v>
      </c>
      <c r="D121" s="34">
        <v>46262</v>
      </c>
      <c r="E121" s="4" t="s">
        <v>7</v>
      </c>
      <c r="F121" s="4" t="s">
        <v>7</v>
      </c>
      <c r="G121" s="4" t="s">
        <v>7</v>
      </c>
      <c r="H121" s="4" t="s">
        <v>7</v>
      </c>
      <c r="I121" s="4" t="s">
        <v>782</v>
      </c>
      <c r="J121" s="4" t="s">
        <v>782</v>
      </c>
    </row>
    <row r="122" spans="1:11" x14ac:dyDescent="0.25">
      <c r="A122" s="3" t="s">
        <v>588</v>
      </c>
      <c r="B122" s="30" t="s">
        <v>795</v>
      </c>
      <c r="C122" s="3" t="s">
        <v>787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782</v>
      </c>
      <c r="J122" s="4" t="s">
        <v>782</v>
      </c>
      <c r="K122" s="23" t="s">
        <v>802</v>
      </c>
    </row>
    <row r="123" spans="1:11" x14ac:dyDescent="0.25">
      <c r="A123" s="3" t="s">
        <v>22</v>
      </c>
      <c r="B123" s="30" t="s">
        <v>793</v>
      </c>
      <c r="C123" s="3" t="s">
        <v>794</v>
      </c>
      <c r="D123" s="34">
        <v>46247</v>
      </c>
      <c r="E123" s="4" t="s">
        <v>7</v>
      </c>
      <c r="F123" s="4" t="s">
        <v>7</v>
      </c>
      <c r="G123" s="4" t="s">
        <v>7</v>
      </c>
      <c r="H123" s="4" t="s">
        <v>7</v>
      </c>
      <c r="I123" s="4" t="s">
        <v>7</v>
      </c>
      <c r="J123" s="4" t="s">
        <v>7</v>
      </c>
    </row>
    <row r="124" spans="1:11" x14ac:dyDescent="0.25">
      <c r="A124" s="3" t="s">
        <v>584</v>
      </c>
      <c r="B124" s="1" t="s">
        <v>805</v>
      </c>
      <c r="C124" s="3" t="s">
        <v>803</v>
      </c>
      <c r="D124" s="34" t="s">
        <v>782</v>
      </c>
      <c r="E124" s="4" t="s">
        <v>782</v>
      </c>
      <c r="F124" s="4" t="s">
        <v>782</v>
      </c>
      <c r="G124" s="4" t="s">
        <v>782</v>
      </c>
      <c r="H124" s="4" t="s">
        <v>782</v>
      </c>
      <c r="I124" s="4" t="s">
        <v>782</v>
      </c>
      <c r="J124" s="4" t="s">
        <v>782</v>
      </c>
      <c r="K124" s="23" t="s">
        <v>804</v>
      </c>
    </row>
    <row r="125" spans="1:11" x14ac:dyDescent="0.25">
      <c r="A125" s="3" t="s">
        <v>413</v>
      </c>
      <c r="B125" s="30" t="s">
        <v>806</v>
      </c>
      <c r="C125" s="3" t="s">
        <v>807</v>
      </c>
      <c r="D125" s="34" t="s">
        <v>782</v>
      </c>
      <c r="E125" s="4" t="s">
        <v>782</v>
      </c>
      <c r="F125" s="4" t="s">
        <v>782</v>
      </c>
      <c r="G125" s="4" t="s">
        <v>782</v>
      </c>
      <c r="H125" s="4" t="s">
        <v>782</v>
      </c>
      <c r="I125" s="4" t="s">
        <v>782</v>
      </c>
      <c r="J125" s="4" t="s">
        <v>782</v>
      </c>
      <c r="K125" s="23" t="s">
        <v>804</v>
      </c>
    </row>
    <row r="126" spans="1:11" x14ac:dyDescent="0.25">
      <c r="A126" s="3" t="s">
        <v>413</v>
      </c>
      <c r="B126" s="30" t="s">
        <v>809</v>
      </c>
      <c r="C126" s="3" t="s">
        <v>808</v>
      </c>
      <c r="D126" s="34" t="s">
        <v>782</v>
      </c>
      <c r="E126" s="4" t="s">
        <v>782</v>
      </c>
      <c r="F126" s="4" t="s">
        <v>782</v>
      </c>
      <c r="G126" s="4" t="s">
        <v>782</v>
      </c>
      <c r="H126" s="4" t="s">
        <v>782</v>
      </c>
      <c r="I126" s="4" t="s">
        <v>782</v>
      </c>
      <c r="J126" s="4" t="s">
        <v>782</v>
      </c>
      <c r="K126" s="23" t="s">
        <v>804</v>
      </c>
    </row>
    <row r="127" spans="1:11" x14ac:dyDescent="0.25">
      <c r="A127" s="3" t="s">
        <v>65</v>
      </c>
      <c r="B127" s="30"/>
      <c r="C127" s="3" t="s">
        <v>812</v>
      </c>
      <c r="D127" s="34">
        <v>46288</v>
      </c>
      <c r="E127" s="4" t="s">
        <v>7</v>
      </c>
      <c r="F127" s="4"/>
      <c r="G127" s="4"/>
      <c r="H127" s="4"/>
      <c r="I127" s="4"/>
      <c r="J127" s="4"/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7"/>
  <sheetViews>
    <sheetView tabSelected="1" zoomScale="106" workbookViewId="0">
      <pane ySplit="1" topLeftCell="A93" activePane="bottomLeft" state="frozen"/>
      <selection pane="bottomLeft" activeCell="A108" sqref="A108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740</v>
      </c>
      <c r="J29" t="s">
        <v>529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J30" t="s">
        <v>529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J41" t="s">
        <v>529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J46" t="s">
        <v>529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J48" t="s">
        <v>529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J53" t="s">
        <v>529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739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J69" t="s">
        <v>529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J72" t="s">
        <v>529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736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754</v>
      </c>
      <c r="G77" s="11" t="s">
        <v>658</v>
      </c>
      <c r="H77" s="9" t="s">
        <v>648</v>
      </c>
      <c r="J77" t="s">
        <v>529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754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754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754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754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754</v>
      </c>
      <c r="G82" s="11" t="s">
        <v>666</v>
      </c>
      <c r="H82" s="9" t="s">
        <v>669</v>
      </c>
      <c r="J82" t="s">
        <v>529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776</v>
      </c>
      <c r="E83" t="s">
        <v>225</v>
      </c>
      <c r="F83" t="s">
        <v>672</v>
      </c>
      <c r="G83" s="11" t="s">
        <v>673</v>
      </c>
      <c r="H83" s="9" t="s">
        <v>729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756</v>
      </c>
      <c r="G87" s="11" t="s">
        <v>737</v>
      </c>
      <c r="H87" s="9" t="s">
        <v>811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756</v>
      </c>
      <c r="G88" s="11" t="s">
        <v>738</v>
      </c>
      <c r="H88" s="9" t="s">
        <v>711</v>
      </c>
      <c r="K88">
        <v>429527</v>
      </c>
      <c r="L88">
        <v>4861811</v>
      </c>
    </row>
    <row r="89" spans="1:12" x14ac:dyDescent="0.25">
      <c r="A89">
        <v>163519</v>
      </c>
      <c r="B89" s="17" t="s">
        <v>438</v>
      </c>
      <c r="C89" s="13" t="s">
        <v>715</v>
      </c>
      <c r="D89" t="s">
        <v>88</v>
      </c>
      <c r="E89" t="s">
        <v>127</v>
      </c>
      <c r="F89" t="s">
        <v>455</v>
      </c>
      <c r="H89" s="9" t="s">
        <v>716</v>
      </c>
      <c r="J89" t="s">
        <v>529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728</v>
      </c>
      <c r="D90" t="s">
        <v>724</v>
      </c>
      <c r="E90" t="s">
        <v>725</v>
      </c>
      <c r="F90" t="s">
        <v>726</v>
      </c>
      <c r="H90" s="11" t="s">
        <v>727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730</v>
      </c>
      <c r="D91" t="s">
        <v>774</v>
      </c>
      <c r="E91" t="s">
        <v>225</v>
      </c>
      <c r="F91" t="s">
        <v>672</v>
      </c>
      <c r="H91" s="9" t="s">
        <v>773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731</v>
      </c>
      <c r="D92" t="s">
        <v>774</v>
      </c>
      <c r="E92" t="s">
        <v>225</v>
      </c>
      <c r="F92" t="s">
        <v>672</v>
      </c>
      <c r="H92" s="9" t="s">
        <v>773</v>
      </c>
      <c r="K92">
        <v>369839</v>
      </c>
      <c r="L92">
        <v>4848992</v>
      </c>
    </row>
    <row r="93" spans="1:12" x14ac:dyDescent="0.25">
      <c r="A93" t="s">
        <v>88</v>
      </c>
      <c r="B93" s="17" t="s">
        <v>635</v>
      </c>
      <c r="C93" s="13" t="s">
        <v>732</v>
      </c>
      <c r="D93" t="s">
        <v>88</v>
      </c>
      <c r="E93" t="s">
        <v>127</v>
      </c>
      <c r="F93" t="s">
        <v>455</v>
      </c>
      <c r="G93" s="11" t="s">
        <v>743</v>
      </c>
      <c r="H93" s="9" t="s">
        <v>733</v>
      </c>
      <c r="K93">
        <v>386078</v>
      </c>
      <c r="L93">
        <v>4851266</v>
      </c>
    </row>
    <row r="94" spans="1:12" x14ac:dyDescent="0.25">
      <c r="A94">
        <v>28947</v>
      </c>
      <c r="B94" s="17" t="s">
        <v>734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744</v>
      </c>
      <c r="H94" s="9" t="s">
        <v>735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741</v>
      </c>
      <c r="D95" t="s">
        <v>88</v>
      </c>
      <c r="E95" t="s">
        <v>127</v>
      </c>
      <c r="F95" t="s">
        <v>755</v>
      </c>
      <c r="G95" s="11" t="s">
        <v>742</v>
      </c>
      <c r="H95" s="9" t="s">
        <v>745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746</v>
      </c>
      <c r="D96" t="s">
        <v>88</v>
      </c>
      <c r="E96" t="s">
        <v>127</v>
      </c>
      <c r="F96" t="s">
        <v>760</v>
      </c>
      <c r="G96" s="11" t="s">
        <v>758</v>
      </c>
      <c r="H96" t="s">
        <v>752</v>
      </c>
      <c r="K96">
        <v>381140</v>
      </c>
      <c r="L96">
        <v>4843550</v>
      </c>
    </row>
    <row r="97" spans="1:12" x14ac:dyDescent="0.25">
      <c r="A97">
        <v>29331</v>
      </c>
      <c r="B97" s="17" t="s">
        <v>747</v>
      </c>
      <c r="C97" s="13" t="s">
        <v>748</v>
      </c>
      <c r="D97" t="s">
        <v>88</v>
      </c>
      <c r="E97" t="s">
        <v>127</v>
      </c>
      <c r="F97" t="s">
        <v>455</v>
      </c>
      <c r="H97" t="s">
        <v>749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750</v>
      </c>
      <c r="D98" t="s">
        <v>88</v>
      </c>
      <c r="E98" t="s">
        <v>127</v>
      </c>
      <c r="F98" t="s">
        <v>754</v>
      </c>
      <c r="G98" s="11" t="s">
        <v>759</v>
      </c>
      <c r="H98" s="9" t="s">
        <v>751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770</v>
      </c>
      <c r="D99" t="s">
        <v>88</v>
      </c>
      <c r="E99" t="s">
        <v>127</v>
      </c>
      <c r="F99" t="s">
        <v>771</v>
      </c>
      <c r="H99" s="9" t="s">
        <v>769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772</v>
      </c>
      <c r="D100" t="s">
        <v>88</v>
      </c>
      <c r="E100" t="s">
        <v>225</v>
      </c>
      <c r="F100" t="s">
        <v>672</v>
      </c>
      <c r="H100" s="9" t="s">
        <v>775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783</v>
      </c>
      <c r="C101" s="13" t="s">
        <v>786</v>
      </c>
      <c r="D101" s="41" t="s">
        <v>784</v>
      </c>
      <c r="E101" t="s">
        <v>338</v>
      </c>
      <c r="H101" s="9" t="s">
        <v>785</v>
      </c>
    </row>
    <row r="102" spans="1:12" x14ac:dyDescent="0.25">
      <c r="A102">
        <v>29271</v>
      </c>
      <c r="B102" s="17" t="s">
        <v>227</v>
      </c>
      <c r="C102" s="13" t="s">
        <v>789</v>
      </c>
      <c r="D102" t="s">
        <v>88</v>
      </c>
      <c r="E102" t="s">
        <v>127</v>
      </c>
      <c r="F102" t="s">
        <v>756</v>
      </c>
      <c r="G102" s="11" t="s">
        <v>815</v>
      </c>
      <c r="H102" s="9" t="s">
        <v>788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790</v>
      </c>
      <c r="C103" s="13" t="s">
        <v>791</v>
      </c>
      <c r="D103" t="s">
        <v>88</v>
      </c>
      <c r="E103" t="s">
        <v>725</v>
      </c>
      <c r="F103" t="s">
        <v>792</v>
      </c>
      <c r="K103">
        <v>395950</v>
      </c>
      <c r="L103">
        <v>4830753</v>
      </c>
    </row>
    <row r="104" spans="1:12" x14ac:dyDescent="0.25">
      <c r="A104">
        <v>29148</v>
      </c>
      <c r="B104" s="17" t="s">
        <v>796</v>
      </c>
      <c r="C104" s="13" t="s">
        <v>797</v>
      </c>
      <c r="D104" t="s">
        <v>88</v>
      </c>
      <c r="E104" t="s">
        <v>127</v>
      </c>
      <c r="F104" t="s">
        <v>754</v>
      </c>
      <c r="I104" s="9" t="s">
        <v>798</v>
      </c>
      <c r="K104">
        <v>399074</v>
      </c>
      <c r="L104">
        <v>4870081</v>
      </c>
    </row>
    <row r="105" spans="1:12" x14ac:dyDescent="0.25">
      <c r="A105" t="s">
        <v>88</v>
      </c>
      <c r="B105" s="17" t="s">
        <v>799</v>
      </c>
      <c r="C105" s="13" t="s">
        <v>810</v>
      </c>
      <c r="D105" t="s">
        <v>88</v>
      </c>
      <c r="E105" t="s">
        <v>225</v>
      </c>
      <c r="F105" t="s">
        <v>456</v>
      </c>
      <c r="I105" s="9" t="s">
        <v>800</v>
      </c>
    </row>
    <row r="106" spans="1:12" x14ac:dyDescent="0.25">
      <c r="A106" t="s">
        <v>88</v>
      </c>
      <c r="B106" s="17" t="s">
        <v>712</v>
      </c>
      <c r="C106" s="13" t="s">
        <v>813</v>
      </c>
      <c r="D106" t="s">
        <v>88</v>
      </c>
      <c r="E106" t="s">
        <v>127</v>
      </c>
      <c r="F106" t="s">
        <v>756</v>
      </c>
      <c r="I106" s="9" t="s">
        <v>814</v>
      </c>
      <c r="K106">
        <v>419832</v>
      </c>
      <c r="L106">
        <v>4864010</v>
      </c>
    </row>
    <row r="107" spans="1:12" x14ac:dyDescent="0.25">
      <c r="A107" t="s">
        <v>88</v>
      </c>
      <c r="B107" s="17" t="s">
        <v>657</v>
      </c>
      <c r="C107" s="13" t="s">
        <v>817</v>
      </c>
      <c r="D107" t="s">
        <v>820</v>
      </c>
      <c r="E107" t="s">
        <v>816</v>
      </c>
      <c r="F107" t="s">
        <v>818</v>
      </c>
      <c r="G107" s="11" t="s">
        <v>821</v>
      </c>
      <c r="I107" s="9" t="s">
        <v>819</v>
      </c>
      <c r="K107">
        <v>380083</v>
      </c>
      <c r="L107">
        <v>4933678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A16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757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763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2026-09-28T18:50:29Z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